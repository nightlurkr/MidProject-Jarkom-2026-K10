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VLSM" sheetId="2" state="visible" r:id="rId4"/>
    <sheet name="Link dan Tambahan" sheetId="3" state="visible" r:id="rId5"/>
    <sheet name="CIDR" sheetId="4" state="visible" r:id="rId6"/>
    <sheet name="Supernet per Router" sheetId="5" state="visible" r:id="rId7"/>
    <sheet name="Revis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<sst xmlns="http://schemas.openxmlformats.org/spreadsheetml/2006/main" count="513" uniqueCount="329">
  <si>
    <t xml:space="preserve">Mid-Project Jarkom A - Kelompok 10</t>
  </si>
  <si>
    <t xml:space="preserve">Mata kuliah</t>
  </si>
  <si>
    <t xml:space="preserve">Komunikasi Data dan Jaringan Komputer (ET234306)</t>
  </si>
  <si>
    <t xml:space="preserve">Kelompok</t>
  </si>
  <si>
    <t xml:space="preserve">10 (K = 10)</t>
  </si>
  <si>
    <t xml:space="preserve">Base network (hasil UTS)</t>
  </si>
  <si>
    <t xml:space="preserve">10.80.0.0/16</t>
  </si>
  <si>
    <t xml:space="preserve">Skema dipakai di file .pkt</t>
  </si>
  <si>
    <t xml:space="preserve">VLSM</t>
  </si>
  <si>
    <t xml:space="preserve">Domain internal</t>
  </si>
  <si>
    <t xml:space="preserve">k10.smartcity.lab</t>
  </si>
  <si>
    <t xml:space="preserve">Link R-PUSAT ke R-ISP</t>
  </si>
  <si>
    <t xml:space="preserve">203.0.113.40/30  (203.0.113.(4 x 10)) - R-PUSAT .41, R-ISP .42</t>
  </si>
  <si>
    <t xml:space="preserve">Server internet</t>
  </si>
  <si>
    <t xml:space="preserve">8.8.8.0/24 - server 8.8.8.8, gateway 8.8.8.1 di R-ISP</t>
  </si>
  <si>
    <t xml:space="preserve">Tunnel GRE</t>
  </si>
  <si>
    <t xml:space="preserve">192.168.10.0/30 - R-PUSAT .1, R-PELABUHAN .2</t>
  </si>
  <si>
    <t xml:space="preserve">Gateway tiap LAN</t>
  </si>
  <si>
    <t xml:space="preserve">alamat host pertama di subnet</t>
  </si>
  <si>
    <t xml:space="preserve">Catatan penting</t>
  </si>
  <si>
    <t xml:space="preserve">Sheet VLSM adalah skema yang dipakai untuk file Packet Tracer K10_VLSM.pkt.</t>
  </si>
  <si>
    <t xml:space="preserve">Sheet CIDR memakai induk 10.80.0.0/14, bukan /16. Alasannya ada di sheet CIDR baris catatan.</t>
  </si>
  <si>
    <t xml:space="preserve">Setiap perbedaan dengan lembar jawaban UTS dicatat di sheet Revisi, sesuai ketentuan soal nomor 2.</t>
  </si>
  <si>
    <t xml:space="preserve">Kolom Block Size dan Host Tersedia memakai formula, jadi ikut berubah kalau prefix diubah.</t>
  </si>
  <si>
    <t xml:space="preserve">Tabel VLSM - induk 10.80.0.0/16</t>
  </si>
  <si>
    <t xml:space="preserve">No</t>
  </si>
  <si>
    <t xml:space="preserve">Nama Subnet</t>
  </si>
  <si>
    <t xml:space="preserve">Router</t>
  </si>
  <si>
    <t xml:space="preserve">LAN</t>
  </si>
  <si>
    <t xml:space="preserve">Host Dibutuhkan</t>
  </si>
  <si>
    <t xml:space="preserve">Prefix</t>
  </si>
  <si>
    <t xml:space="preserve">Block Size</t>
  </si>
  <si>
    <t xml:space="preserve">Host Tersedia</t>
  </si>
  <si>
    <t xml:space="preserve">Subnet Mask</t>
  </si>
  <si>
    <t xml:space="preserve">Network ID</t>
  </si>
  <si>
    <t xml:space="preserve">Range Host</t>
  </si>
  <si>
    <t xml:space="preserve">Broadcast</t>
  </si>
  <si>
    <t xml:space="preserve">Gateway</t>
  </si>
  <si>
    <t xml:space="preserve">Offset</t>
  </si>
  <si>
    <t xml:space="preserve">R-Utara-WiFi</t>
  </si>
  <si>
    <t xml:space="preserve">R-UTARA</t>
  </si>
  <si>
    <t xml:space="preserve">WiFi Publik Utara</t>
  </si>
  <si>
    <t xml:space="preserve">/18</t>
  </si>
  <si>
    <t xml:space="preserve">255.255.192.0</t>
  </si>
  <si>
    <t xml:space="preserve">10.80.0.0</t>
  </si>
  <si>
    <t xml:space="preserve">10.80.0.1 - 10.80.63.254</t>
  </si>
  <si>
    <t xml:space="preserve">10.80.63.255</t>
  </si>
  <si>
    <t xml:space="preserve">10.80.0.1</t>
  </si>
  <si>
    <t xml:space="preserve">R-Selatan-WiFi</t>
  </si>
  <si>
    <t xml:space="preserve">R-SELATAN</t>
  </si>
  <si>
    <t xml:space="preserve">WiFi Publik Selatan</t>
  </si>
  <si>
    <t xml:space="preserve">/19</t>
  </si>
  <si>
    <t xml:space="preserve">255.255.224.0</t>
  </si>
  <si>
    <t xml:space="preserve">10.80.64.0</t>
  </si>
  <si>
    <t xml:space="preserve">10.80.64.1 - 10.80.95.254</t>
  </si>
  <si>
    <t xml:space="preserve">10.80.95.255</t>
  </si>
  <si>
    <t xml:space="preserve">10.80.64.1</t>
  </si>
  <si>
    <t xml:space="preserve">R-DC-CCTV</t>
  </si>
  <si>
    <t xml:space="preserve">R-DC</t>
  </si>
  <si>
    <t xml:space="preserve">CCTV Kota</t>
  </si>
  <si>
    <t xml:space="preserve">10.80.96.0</t>
  </si>
  <si>
    <t xml:space="preserve">10.80.96.1 - 10.80.127.254</t>
  </si>
  <si>
    <t xml:space="preserve">10.80.127.255</t>
  </si>
  <si>
    <t xml:space="preserve">10.80.96.1</t>
  </si>
  <si>
    <t xml:space="preserve">R-Timur-WiFi</t>
  </si>
  <si>
    <t xml:space="preserve">R-TIMUR</t>
  </si>
  <si>
    <t xml:space="preserve">WiFi Publik Timur</t>
  </si>
  <si>
    <t xml:space="preserve">10.80.128.0</t>
  </si>
  <si>
    <t xml:space="preserve">10.80.128.1 - 10.80.159.254</t>
  </si>
  <si>
    <t xml:space="preserve">10.80.159.255</t>
  </si>
  <si>
    <t xml:space="preserve">10.80.128.1</t>
  </si>
  <si>
    <t xml:space="preserve">R-Pelabuhan-Sensor</t>
  </si>
  <si>
    <t xml:space="preserve">R-PELABUHAN</t>
  </si>
  <si>
    <t xml:space="preserve">Sensor dan SCADA Pelabuhan</t>
  </si>
  <si>
    <t xml:space="preserve">10.80.160.0</t>
  </si>
  <si>
    <t xml:space="preserve">10.80.160.1 - 10.80.191.254</t>
  </si>
  <si>
    <t xml:space="preserve">10.80.191.255</t>
  </si>
  <si>
    <t xml:space="preserve">10.80.160.1</t>
  </si>
  <si>
    <t xml:space="preserve">R-Barat-WiFi</t>
  </si>
  <si>
    <t xml:space="preserve">R-BARAT</t>
  </si>
  <si>
    <t xml:space="preserve">WiFi Publik Barat</t>
  </si>
  <si>
    <t xml:space="preserve">10.80.192.0</t>
  </si>
  <si>
    <t xml:space="preserve">10.80.192.1 - 10.80.223.254</t>
  </si>
  <si>
    <t xml:space="preserve">10.80.223.255</t>
  </si>
  <si>
    <t xml:space="preserve">10.80.192.1</t>
  </si>
  <si>
    <t xml:space="preserve">R-Pusat-Pegawai</t>
  </si>
  <si>
    <t xml:space="preserve">R-PUSAT</t>
  </si>
  <si>
    <t xml:space="preserve">Pegawai Balai Kota</t>
  </si>
  <si>
    <t xml:space="preserve">/21</t>
  </si>
  <si>
    <t xml:space="preserve">255.255.248.0</t>
  </si>
  <si>
    <t xml:space="preserve">10.80.224.0</t>
  </si>
  <si>
    <t xml:space="preserve">10.80.224.1 - 10.80.231.254</t>
  </si>
  <si>
    <t xml:space="preserve">10.80.231.255</t>
  </si>
  <si>
    <t xml:space="preserve">10.80.224.1</t>
  </si>
  <si>
    <t xml:space="preserve">R-Timur-Sensor</t>
  </si>
  <si>
    <t xml:space="preserve">Sensor Banjir Timur</t>
  </si>
  <si>
    <t xml:space="preserve">/22</t>
  </si>
  <si>
    <t xml:space="preserve">255.255.252.0</t>
  </si>
  <si>
    <t xml:space="preserve">10.80.232.0</t>
  </si>
  <si>
    <t xml:space="preserve">10.80.232.1 - 10.80.235.254</t>
  </si>
  <si>
    <t xml:space="preserve">10.80.235.255</t>
  </si>
  <si>
    <t xml:space="preserve">10.80.232.1</t>
  </si>
  <si>
    <t xml:space="preserve">R-Utara-Sensor</t>
  </si>
  <si>
    <t xml:space="preserve">Sensor Lalu Lintas Utara</t>
  </si>
  <si>
    <t xml:space="preserve">/23</t>
  </si>
  <si>
    <t xml:space="preserve">255.255.254.0</t>
  </si>
  <si>
    <t xml:space="preserve">10.80.236.0</t>
  </si>
  <si>
    <t xml:space="preserve">10.80.236.1 - 10.80.237.254</t>
  </si>
  <si>
    <t xml:space="preserve">10.80.237.255</t>
  </si>
  <si>
    <t xml:space="preserve">10.80.236.1</t>
  </si>
  <si>
    <t xml:space="preserve">R-Barat-Sekolah</t>
  </si>
  <si>
    <t xml:space="preserve">Puskesmas dan Sekolah Barat</t>
  </si>
  <si>
    <t xml:space="preserve">/24</t>
  </si>
  <si>
    <t xml:space="preserve">255.255.255.0</t>
  </si>
  <si>
    <t xml:space="preserve">10.80.238.0</t>
  </si>
  <si>
    <t xml:space="preserve">10.80.238.1 - 10.80.238.254</t>
  </si>
  <si>
    <t xml:space="preserve">10.80.238.255</t>
  </si>
  <si>
    <t xml:space="preserve">10.80.238.1</t>
  </si>
  <si>
    <t xml:space="preserve">R-DC-Server</t>
  </si>
  <si>
    <t xml:space="preserve">Server dan Storage DC</t>
  </si>
  <si>
    <t xml:space="preserve">10.80.239.0</t>
  </si>
  <si>
    <t xml:space="preserve">10.80.239.1 - 10.80.239.254</t>
  </si>
  <si>
    <t xml:space="preserve">10.80.239.255</t>
  </si>
  <si>
    <t xml:space="preserve">10.80.239.1</t>
  </si>
  <si>
    <t xml:space="preserve">R-Pelabuhan-Kantor</t>
  </si>
  <si>
    <t xml:space="preserve">Kantor Pelabuhan</t>
  </si>
  <si>
    <t xml:space="preserve">/25</t>
  </si>
  <si>
    <t xml:space="preserve">255.255.255.128</t>
  </si>
  <si>
    <t xml:space="preserve">10.80.240.0</t>
  </si>
  <si>
    <t xml:space="preserve">10.80.240.1 - 10.80.240.126</t>
  </si>
  <si>
    <t xml:space="preserve">10.80.240.127</t>
  </si>
  <si>
    <t xml:space="preserve">10.80.240.1</t>
  </si>
  <si>
    <t xml:space="preserve">R-Selatan-PJU</t>
  </si>
  <si>
    <t xml:space="preserve">PJU Pintar Selatan</t>
  </si>
  <si>
    <t xml:space="preserve">10.80.240.128</t>
  </si>
  <si>
    <t xml:space="preserve">10.80.240.129 - 10.80.240.254</t>
  </si>
  <si>
    <t xml:space="preserve">10.80.240.255</t>
  </si>
  <si>
    <t xml:space="preserve">10.80.240.129</t>
  </si>
  <si>
    <t xml:space="preserve">R-Pusat-Server</t>
  </si>
  <si>
    <t xml:space="preserve">Server Balai Kota</t>
  </si>
  <si>
    <t xml:space="preserve">/27</t>
  </si>
  <si>
    <t xml:space="preserve">255.255.255.224</t>
  </si>
  <si>
    <t xml:space="preserve">10.80.241.0</t>
  </si>
  <si>
    <t xml:space="preserve">10.80.241.1 - 10.80.241.30</t>
  </si>
  <si>
    <t xml:space="preserve">10.80.241.31</t>
  </si>
  <si>
    <t xml:space="preserve">10.80.241.1</t>
  </si>
  <si>
    <t xml:space="preserve">Total alamat LAN terpakai</t>
  </si>
  <si>
    <t xml:space="preserve">Link antar-router /30 dan alamat tambahan (skema VLSM)</t>
  </si>
  <si>
    <t xml:space="preserve">Link</t>
  </si>
  <si>
    <t xml:space="preserve">Router A</t>
  </si>
  <si>
    <t xml:space="preserve">Router B</t>
  </si>
  <si>
    <t xml:space="preserve">Network</t>
  </si>
  <si>
    <t xml:space="preserve">Mask</t>
  </si>
  <si>
    <t xml:space="preserve">IP Router A</t>
  </si>
  <si>
    <t xml:space="preserve">IP Router B</t>
  </si>
  <si>
    <t xml:space="preserve">Keterangan</t>
  </si>
  <si>
    <t xml:space="preserve">L1</t>
  </si>
  <si>
    <t xml:space="preserve">10.80.241.32</t>
  </si>
  <si>
    <t xml:space="preserve">/30</t>
  </si>
  <si>
    <t xml:space="preserve">255.255.255.252</t>
  </si>
  <si>
    <t xml:space="preserve">10.80.241.33</t>
  </si>
  <si>
    <t xml:space="preserve">10.80.241.34</t>
  </si>
  <si>
    <t xml:space="preserve">10.80.241.35</t>
  </si>
  <si>
    <t xml:space="preserve">Backbone sesuai Gambar 1</t>
  </si>
  <si>
    <t xml:space="preserve">L2</t>
  </si>
  <si>
    <t xml:space="preserve">10.80.241.36</t>
  </si>
  <si>
    <t xml:space="preserve">10.80.241.37</t>
  </si>
  <si>
    <t xml:space="preserve">10.80.241.38</t>
  </si>
  <si>
    <t xml:space="preserve">10.80.241.39</t>
  </si>
  <si>
    <t xml:space="preserve">L3</t>
  </si>
  <si>
    <t xml:space="preserve">10.80.241.40</t>
  </si>
  <si>
    <t xml:space="preserve">10.80.241.41</t>
  </si>
  <si>
    <t xml:space="preserve">10.80.241.42</t>
  </si>
  <si>
    <t xml:space="preserve">10.80.241.43</t>
  </si>
  <si>
    <t xml:space="preserve">L4</t>
  </si>
  <si>
    <t xml:space="preserve">10.80.241.44</t>
  </si>
  <si>
    <t xml:space="preserve">10.80.241.45</t>
  </si>
  <si>
    <t xml:space="preserve">10.80.241.46</t>
  </si>
  <si>
    <t xml:space="preserve">10.80.241.47</t>
  </si>
  <si>
    <t xml:space="preserve">L5</t>
  </si>
  <si>
    <t xml:space="preserve">10.80.241.48</t>
  </si>
  <si>
    <t xml:space="preserve">10.80.241.49</t>
  </si>
  <si>
    <t xml:space="preserve">10.80.241.50</t>
  </si>
  <si>
    <t xml:space="preserve">10.80.241.51</t>
  </si>
  <si>
    <t xml:space="preserve">L6</t>
  </si>
  <si>
    <t xml:space="preserve">10.80.241.52</t>
  </si>
  <si>
    <t xml:space="preserve">10.80.241.53</t>
  </si>
  <si>
    <t xml:space="preserve">10.80.241.54</t>
  </si>
  <si>
    <t xml:space="preserve">10.80.241.55</t>
  </si>
  <si>
    <t xml:space="preserve">L7</t>
  </si>
  <si>
    <t xml:space="preserve">10.80.241.56</t>
  </si>
  <si>
    <t xml:space="preserve">10.80.241.57</t>
  </si>
  <si>
    <t xml:space="preserve">10.80.241.58</t>
  </si>
  <si>
    <t xml:space="preserve">10.80.241.59</t>
  </si>
  <si>
    <t xml:space="preserve">Link cadangan, hanya dipakai di file OSPF (soal 7)</t>
  </si>
  <si>
    <t xml:space="preserve">Alamat tambahan dari soal (tidak dihitung saat UTS)</t>
  </si>
  <si>
    <t xml:space="preserve">Link R-PUSAT - R-ISP</t>
  </si>
  <si>
    <t xml:space="preserve">203.0.113.40/30</t>
  </si>
  <si>
    <t xml:space="preserve">R-PUSAT 203.0.113.41</t>
  </si>
  <si>
    <t xml:space="preserve">R-ISP 203.0.113.42</t>
  </si>
  <si>
    <t xml:space="preserve">203.0.113.(4 x K), K = 10</t>
  </si>
  <si>
    <t xml:space="preserve">8.8.8.0/24</t>
  </si>
  <si>
    <t xml:space="preserve">Server 8.8.8.8</t>
  </si>
  <si>
    <t xml:space="preserve">Gateway 8.8.8.1 di R-ISP</t>
  </si>
  <si>
    <t xml:space="preserve">Di luar jaringan privat</t>
  </si>
  <si>
    <t xml:space="preserve">192.168.10.0/30</t>
  </si>
  <si>
    <t xml:space="preserve">R-PUSAT 192.168.10.1</t>
  </si>
  <si>
    <t xml:space="preserve">R-PELABUHAN 192.168.10.2</t>
  </si>
  <si>
    <t xml:space="preserve">192.168.K.0/30, K = 10</t>
  </si>
  <si>
    <t xml:space="preserve">Tabel CIDR - semua subnet seragam /18, induk 10.80.0.0/14</t>
  </si>
  <si>
    <t xml:space="preserve">Kebutuhan terbesar 11.000 host memerlukan /18 (16.384 alamat).</t>
  </si>
  <si>
    <t xml:space="preserve">CIDR menyeragamkan semua subnet, jadi 14 LAN x 16.384 = 229.376 alamat.</t>
  </si>
  <si>
    <t xml:space="preserve">Induk 10.80.0.0/16 hanya punya 65.536 alamat, sehingga skema CIDR seragam tidak muat di /16 dan induk diperlebar menjadi 10.80.0.0/14.</t>
  </si>
  <si>
    <t xml:space="preserve">Inilah bukti kuantitatif kenapa kelompok memilih VLSM untuk implementasi di Packet Tracer.</t>
  </si>
  <si>
    <t xml:space="preserve">Alamat Terbuang</t>
  </si>
  <si>
    <t xml:space="preserve">10.80.64.1 - 10.80.127.254</t>
  </si>
  <si>
    <t xml:space="preserve">10.80.128.1 - 10.80.191.254</t>
  </si>
  <si>
    <t xml:space="preserve">10.80.192.1 - 10.80.255.254</t>
  </si>
  <si>
    <t xml:space="preserve">10.80.255.255</t>
  </si>
  <si>
    <t xml:space="preserve">10.81.0.0</t>
  </si>
  <si>
    <t xml:space="preserve">10.81.0.1 - 10.81.63.254</t>
  </si>
  <si>
    <t xml:space="preserve">10.81.63.255</t>
  </si>
  <si>
    <t xml:space="preserve">10.81.0.1</t>
  </si>
  <si>
    <t xml:space="preserve">10.81.64.0</t>
  </si>
  <si>
    <t xml:space="preserve">10.81.64.1 - 10.81.127.254</t>
  </si>
  <si>
    <t xml:space="preserve">10.81.127.255</t>
  </si>
  <si>
    <t xml:space="preserve">10.81.64.1</t>
  </si>
  <si>
    <t xml:space="preserve">10.81.128.0</t>
  </si>
  <si>
    <t xml:space="preserve">10.81.128.1 - 10.81.191.254</t>
  </si>
  <si>
    <t xml:space="preserve">10.81.191.255</t>
  </si>
  <si>
    <t xml:space="preserve">10.81.128.1</t>
  </si>
  <si>
    <t xml:space="preserve">10.81.192.0</t>
  </si>
  <si>
    <t xml:space="preserve">10.81.192.1 - 10.81.255.254</t>
  </si>
  <si>
    <t xml:space="preserve">10.81.255.255</t>
  </si>
  <si>
    <t xml:space="preserve">10.81.192.1</t>
  </si>
  <si>
    <t xml:space="preserve">10.82.0.0</t>
  </si>
  <si>
    <t xml:space="preserve">10.82.0.1 - 10.82.63.254</t>
  </si>
  <si>
    <t xml:space="preserve">10.82.63.255</t>
  </si>
  <si>
    <t xml:space="preserve">10.82.0.1</t>
  </si>
  <si>
    <t xml:space="preserve">10.82.64.0</t>
  </si>
  <si>
    <t xml:space="preserve">10.82.64.1 - 10.82.127.254</t>
  </si>
  <si>
    <t xml:space="preserve">10.82.127.255</t>
  </si>
  <si>
    <t xml:space="preserve">10.82.64.1</t>
  </si>
  <si>
    <t xml:space="preserve">10.82.128.0</t>
  </si>
  <si>
    <t xml:space="preserve">10.82.128.1 - 10.82.191.254</t>
  </si>
  <si>
    <t xml:space="preserve">10.82.191.255</t>
  </si>
  <si>
    <t xml:space="preserve">10.82.128.1</t>
  </si>
  <si>
    <t xml:space="preserve">10.82.192.0</t>
  </si>
  <si>
    <t xml:space="preserve">10.82.192.1 - 10.82.255.254</t>
  </si>
  <si>
    <t xml:space="preserve">10.82.255.255</t>
  </si>
  <si>
    <t xml:space="preserve">10.82.192.1</t>
  </si>
  <si>
    <t xml:space="preserve">10.83.0.0</t>
  </si>
  <si>
    <t xml:space="preserve">10.83.0.1 - 10.83.63.254</t>
  </si>
  <si>
    <t xml:space="preserve">10.83.63.255</t>
  </si>
  <si>
    <t xml:space="preserve">10.83.0.1</t>
  </si>
  <si>
    <t xml:space="preserve">10.83.64.0</t>
  </si>
  <si>
    <t xml:space="preserve">10.83.64.1 - 10.83.127.254</t>
  </si>
  <si>
    <t xml:space="preserve">10.83.127.255</t>
  </si>
  <si>
    <t xml:space="preserve">10.83.64.1</t>
  </si>
  <si>
    <t xml:space="preserve">Total alamat terbuang (CIDR)</t>
  </si>
  <si>
    <t xml:space="preserve">Supernet per router (skema CIDR) - dua LAN /18 digabung menjadi satu /17</t>
  </si>
  <si>
    <t xml:space="preserve">Manfaat: router di atasnya cukup menyimpan satu baris rute per router, bukan dua.</t>
  </si>
  <si>
    <t xml:space="preserve">LAN yang digabung</t>
  </si>
  <si>
    <t xml:space="preserve">Jumlah Alamat</t>
  </si>
  <si>
    <t xml:space="preserve">Prefix Supernet</t>
  </si>
  <si>
    <t xml:space="preserve">Supernet</t>
  </si>
  <si>
    <t xml:space="preserve">Range</t>
  </si>
  <si>
    <t xml:space="preserve">R-Pusat-Pegawai + R-Pusat-Server</t>
  </si>
  <si>
    <t xml:space="preserve">/17</t>
  </si>
  <si>
    <t xml:space="preserve">10.80.0.0 - 10.80.127.255</t>
  </si>
  <si>
    <t xml:space="preserve">R-DC-CCTV + R-DC-Server</t>
  </si>
  <si>
    <t xml:space="preserve">10.80.128.0 - 10.80.255.255</t>
  </si>
  <si>
    <t xml:space="preserve">R-Barat-WiFi + R-Barat-Sekolah</t>
  </si>
  <si>
    <t xml:space="preserve">10.81.0.0 - 10.81.127.255</t>
  </si>
  <si>
    <t xml:space="preserve">R-Utara-WiFi + R-Utara-Sensor</t>
  </si>
  <si>
    <t xml:space="preserve">10.81.128.0 - 10.81.255.255</t>
  </si>
  <si>
    <t xml:space="preserve">R-Timur-WiFi + R-Timur-Sensor</t>
  </si>
  <si>
    <t xml:space="preserve">10.82.0.0 - 10.82.127.255</t>
  </si>
  <si>
    <t xml:space="preserve">R-Selatan-WiFi + R-Selatan-PJU</t>
  </si>
  <si>
    <t xml:space="preserve">10.82.128.0 - 10.82.255.255</t>
  </si>
  <si>
    <t xml:space="preserve">R-Pelabuhan-Sensor + R-Pelabuhan-Kantor</t>
  </si>
  <si>
    <t xml:space="preserve">10.83.0.0 - 10.83.127.255</t>
  </si>
  <si>
    <t xml:space="preserve">Backbone</t>
  </si>
  <si>
    <t xml:space="preserve">Semua link /30 (L1 sampai L7)</t>
  </si>
  <si>
    <t xml:space="preserve">10.83.128.0</t>
  </si>
  <si>
    <t xml:space="preserve">10.83.128.0 - 10.83.255.255</t>
  </si>
  <si>
    <t xml:space="preserve">10.83.255.255</t>
  </si>
  <si>
    <t xml:space="preserve">Induk seluruh supernet</t>
  </si>
  <si>
    <t xml:space="preserve">10.80.0.0/14  (10.80.0.0 - 10.83.255.255)</t>
  </si>
  <si>
    <t xml:space="preserve">Tabel revisi terhadap lembar jawaban UTS</t>
  </si>
  <si>
    <t xml:space="preserve">Diisi sesuai ketentuan soal nomor 2: setiap perbaikan wajib dicatat beserta alasannya.</t>
  </si>
  <si>
    <t xml:space="preserve">Subnet / Bagian</t>
  </si>
  <si>
    <t xml:space="preserve">Jawaban di UTS</t>
  </si>
  <si>
    <t xml:space="preserve">Perbaikan</t>
  </si>
  <si>
    <t xml:space="preserve">Alasan Kesalahan</t>
  </si>
  <si>
    <t xml:space="preserve">Network 10.80.192.0/19, broadcast 10.80.199.255</t>
  </si>
  <si>
    <t xml:space="preserve">Network 10.80.192.0/19, broadcast 10.80.223.255</t>
  </si>
  <si>
    <t xml:space="preserve">Blok /19 berisi 8192 alamat, yaitu 32 angka pada oktet ketiga, sehingga broadcast jatuh di 223. Angka 199 berasal dari lompatan 8 yang merupakan pola /21.</t>
  </si>
  <si>
    <t xml:space="preserve">Network 10.80.200.0/21</t>
  </si>
  <si>
    <t xml:space="preserve">Network 10.80.224.0/21</t>
  </si>
  <si>
    <t xml:space="preserve">Ikut bergeser karena baris R-Barat-WiFi sebelumnya berakhir di 10.80.223.255, bukan 10.80.199.255.</t>
  </si>
  <si>
    <t xml:space="preserve">Network 10.80.204.0/22</t>
  </si>
  <si>
    <t xml:space="preserve">Network 10.80.232.0/22</t>
  </si>
  <si>
    <t xml:space="preserve">Pergeseran lanjutan dari baris di atasnya.</t>
  </si>
  <si>
    <t xml:space="preserve">Network 10.80.206.0/23</t>
  </si>
  <si>
    <t xml:space="preserve">Network 10.80.236.0/23</t>
  </si>
  <si>
    <t xml:space="preserve">Network 10.80.207.0/24</t>
  </si>
  <si>
    <t xml:space="preserve">Network 10.80.238.0/24</t>
  </si>
  <si>
    <t xml:space="preserve">Network 10.80.208.0/24</t>
  </si>
  <si>
    <t xml:space="preserve">Network 10.80.239.0/24</t>
  </si>
  <si>
    <t xml:space="preserve">Network 10.80.208.128/25</t>
  </si>
  <si>
    <t xml:space="preserve">Network 10.80.240.0/25</t>
  </si>
  <si>
    <t xml:space="preserve">Network 10.80.209.0/25</t>
  </si>
  <si>
    <t xml:space="preserve">Network 10.80.240.128/25</t>
  </si>
  <si>
    <t xml:space="preserve">Network 10.80.209.32/27</t>
  </si>
  <si>
    <t xml:space="preserve">Network 10.80.241.0/27</t>
  </si>
  <si>
    <t xml:space="preserve">Link L1 - L6</t>
  </si>
  <si>
    <t xml:space="preserve">10.80.209.36/30 sampai 10.80.209.56/30</t>
  </si>
  <si>
    <t xml:space="preserve">10.80.241.32/30 sampai 10.80.241.52/30</t>
  </si>
  <si>
    <t xml:space="preserve">Dialokasikan dari blok 10.80.209.60/30 dan 10.80.209.64/30</t>
  </si>
  <si>
    <t xml:space="preserve">192.168.10.0/30, R-PUSAT .1 dan R-PELABUHAN .2</t>
  </si>
  <si>
    <t xml:space="preserve">Soal Mid-Project sudah menetapkan alamat tunnel 192.168.K.0/30, jadi tidak perlu diambil dari blok privat kelompok.</t>
  </si>
  <si>
    <t xml:space="preserve">Link L7</t>
  </si>
  <si>
    <t xml:space="preserve">Belum ada</t>
  </si>
  <si>
    <t xml:space="preserve">10.80.241.56/30</t>
  </si>
  <si>
    <t xml:space="preserve">Link cadangan R-DC ke R-UTARA baru diminta di soal nomor 7 (OSPF), belum ada saat UTS.</t>
  </si>
  <si>
    <t xml:space="preserve">Induk tabel CIDR</t>
  </si>
  <si>
    <t xml:space="preserve">10.80.0.0/14</t>
  </si>
  <si>
    <t xml:space="preserve">CIDR seragam /18 untuk 14 LAN butuh 229.376 alamat, sedangkan /16 hanya 65.536. Perhitungan di sheet CIDR.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</si>
</sst>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3" customFormat="false" ht="16.15" hidden="false" customHeight="false" outlineLevel="0" collapsed="false">
      <c r="A13" s="1" t="s">
        <v>19</v>
      </c>
    </row>
    <row r="14" customFormat="false" ht="15" hidden="false" customHeight="false" outlineLevel="0" collapsed="false">
      <c r="A14" s="4" t="s">
        <v>20</v>
      </c>
      <c r="B14" s="4"/>
    </row>
    <row r="15" customFormat="false" ht="15" hidden="false" customHeight="false" outlineLevel="0" collapsed="false">
      <c r="A15" s="4" t="s">
        <v>21</v>
      </c>
      <c r="B15" s="4"/>
    </row>
    <row r="16" customFormat="false" ht="15" hidden="false" customHeight="false" outlineLevel="0" collapsed="false">
      <c r="A16" s="4" t="s">
        <v>22</v>
      </c>
      <c r="B16" s="4"/>
    </row>
    <row r="17" customFormat="false" ht="15" hidden="false" customHeight="false" outlineLevel="0" collapsed="false">
      <c r="A17" s="4" t="s">
        <v>23</v>
      </c>
      <c r="B17" s="4"/>
    </row>
  </sheetData>
  <mergeCells count="4">
    <mergeCell ref="A14:B14"/>
    <mergeCell ref="A15:B15"/>
    <mergeCell ref="A16:B16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32"/>
    <col collapsed="false" customWidth="true" hidden="false" outlineLevel="0" max="13" min="12" style="0" width="16"/>
    <col collapsed="false" customWidth="true" hidden="false" outlineLevel="0" max="14" min="14" style="0" width="10"/>
  </cols>
  <sheetData>
    <row r="1" customFormat="false" ht="16.15" hidden="false" customHeight="false" outlineLevel="0" collapsed="false">
      <c r="A1" s="1" t="s">
        <v>24</v>
      </c>
    </row>
    <row r="3" customFormat="false" ht="15" hidden="false" customHeight="false" outlineLevel="0" collapsed="false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</row>
    <row r="4" customFormat="false" ht="15" hidden="false" customHeight="false" outlineLevel="0" collapsed="false">
      <c r="A4" s="6" t="n">
        <v>1</v>
      </c>
      <c r="B4" s="6" t="s">
        <v>39</v>
      </c>
      <c r="C4" s="6" t="s">
        <v>40</v>
      </c>
      <c r="D4" s="6" t="s">
        <v>41</v>
      </c>
      <c r="E4" s="6" t="n">
        <v>11000</v>
      </c>
      <c r="F4" s="6" t="s">
        <v>42</v>
      </c>
      <c r="G4" s="6" t="n">
        <f aca="false">2^(32-VALUE(SUBSTITUTE(F4,"/","")))</f>
        <v>16384</v>
      </c>
      <c r="H4" s="6" t="n">
        <f aca="false">G4-2</f>
        <v>16382</v>
      </c>
      <c r="I4" s="6" t="s">
        <v>43</v>
      </c>
      <c r="J4" s="6" t="s">
        <v>44</v>
      </c>
      <c r="K4" s="6" t="s">
        <v>45</v>
      </c>
      <c r="L4" s="6" t="s">
        <v>46</v>
      </c>
      <c r="M4" s="6" t="s">
        <v>47</v>
      </c>
      <c r="N4" s="6" t="n">
        <v>0</v>
      </c>
    </row>
    <row r="5" customFormat="false" ht="15" hidden="false" customHeight="false" outlineLevel="0" collapsed="false">
      <c r="A5" s="6" t="n">
        <v>2</v>
      </c>
      <c r="B5" s="6" t="s">
        <v>48</v>
      </c>
      <c r="C5" s="6" t="s">
        <v>49</v>
      </c>
      <c r="D5" s="6" t="s">
        <v>50</v>
      </c>
      <c r="E5" s="6" t="n">
        <v>6500</v>
      </c>
      <c r="F5" s="6" t="s">
        <v>51</v>
      </c>
      <c r="G5" s="6" t="n">
        <f aca="false">2^(32-VALUE(SUBSTITUTE(F5,"/","")))</f>
        <v>8192</v>
      </c>
      <c r="H5" s="6" t="n">
        <f aca="false">G5-2</f>
        <v>8190</v>
      </c>
      <c r="I5" s="6" t="s">
        <v>52</v>
      </c>
      <c r="J5" s="6" t="s">
        <v>53</v>
      </c>
      <c r="K5" s="6" t="s">
        <v>54</v>
      </c>
      <c r="L5" s="6" t="s">
        <v>55</v>
      </c>
      <c r="M5" s="6" t="s">
        <v>56</v>
      </c>
      <c r="N5" s="6" t="n">
        <v>16384</v>
      </c>
    </row>
    <row r="6" customFormat="false" ht="15" hidden="false" customHeight="false" outlineLevel="0" collapsed="false">
      <c r="A6" s="6" t="n">
        <v>3</v>
      </c>
      <c r="B6" s="6" t="s">
        <v>57</v>
      </c>
      <c r="C6" s="6" t="s">
        <v>58</v>
      </c>
      <c r="D6" s="6" t="s">
        <v>59</v>
      </c>
      <c r="E6" s="6" t="n">
        <v>6000</v>
      </c>
      <c r="F6" s="6" t="s">
        <v>51</v>
      </c>
      <c r="G6" s="6" t="n">
        <f aca="false">2^(32-VALUE(SUBSTITUTE(F6,"/","")))</f>
        <v>8192</v>
      </c>
      <c r="H6" s="6" t="n">
        <f aca="false">G6-2</f>
        <v>8190</v>
      </c>
      <c r="I6" s="6" t="s">
        <v>52</v>
      </c>
      <c r="J6" s="6" t="s">
        <v>60</v>
      </c>
      <c r="K6" s="6" t="s">
        <v>61</v>
      </c>
      <c r="L6" s="6" t="s">
        <v>62</v>
      </c>
      <c r="M6" s="6" t="s">
        <v>63</v>
      </c>
      <c r="N6" s="6" t="n">
        <v>24576</v>
      </c>
    </row>
    <row r="7" customFormat="false" ht="15" hidden="false" customHeight="false" outlineLevel="0" collapsed="false">
      <c r="A7" s="6" t="n">
        <v>4</v>
      </c>
      <c r="B7" s="6" t="s">
        <v>64</v>
      </c>
      <c r="C7" s="6" t="s">
        <v>65</v>
      </c>
      <c r="D7" s="6" t="s">
        <v>66</v>
      </c>
      <c r="E7" s="6" t="n">
        <v>5500</v>
      </c>
      <c r="F7" s="6" t="s">
        <v>51</v>
      </c>
      <c r="G7" s="6" t="n">
        <f aca="false">2^(32-VALUE(SUBSTITUTE(F7,"/","")))</f>
        <v>8192</v>
      </c>
      <c r="H7" s="6" t="n">
        <f aca="false">G7-2</f>
        <v>8190</v>
      </c>
      <c r="I7" s="6" t="s">
        <v>52</v>
      </c>
      <c r="J7" s="6" t="s">
        <v>67</v>
      </c>
      <c r="K7" s="6" t="s">
        <v>68</v>
      </c>
      <c r="L7" s="6" t="s">
        <v>69</v>
      </c>
      <c r="M7" s="6" t="s">
        <v>70</v>
      </c>
      <c r="N7" s="6" t="n">
        <v>32768</v>
      </c>
    </row>
    <row r="8" customFormat="false" ht="15" hidden="false" customHeight="false" outlineLevel="0" collapsed="false">
      <c r="A8" s="6" t="n">
        <v>5</v>
      </c>
      <c r="B8" s="6" t="s">
        <v>71</v>
      </c>
      <c r="C8" s="6" t="s">
        <v>72</v>
      </c>
      <c r="D8" s="6" t="s">
        <v>73</v>
      </c>
      <c r="E8" s="6" t="n">
        <v>5000</v>
      </c>
      <c r="F8" s="6" t="s">
        <v>51</v>
      </c>
      <c r="G8" s="6" t="n">
        <f aca="false">2^(32-VALUE(SUBSTITUTE(F8,"/","")))</f>
        <v>8192</v>
      </c>
      <c r="H8" s="6" t="n">
        <f aca="false">G8-2</f>
        <v>8190</v>
      </c>
      <c r="I8" s="6" t="s">
        <v>52</v>
      </c>
      <c r="J8" s="6" t="s">
        <v>74</v>
      </c>
      <c r="K8" s="6" t="s">
        <v>75</v>
      </c>
      <c r="L8" s="6" t="s">
        <v>76</v>
      </c>
      <c r="M8" s="6" t="s">
        <v>77</v>
      </c>
      <c r="N8" s="6" t="n">
        <v>40960</v>
      </c>
    </row>
    <row r="9" customFormat="false" ht="15" hidden="false" customHeight="false" outlineLevel="0" collapsed="false">
      <c r="A9" s="6" t="n">
        <v>6</v>
      </c>
      <c r="B9" s="6" t="s">
        <v>78</v>
      </c>
      <c r="C9" s="6" t="s">
        <v>79</v>
      </c>
      <c r="D9" s="6" t="s">
        <v>80</v>
      </c>
      <c r="E9" s="6" t="n">
        <v>4500</v>
      </c>
      <c r="F9" s="6" t="s">
        <v>51</v>
      </c>
      <c r="G9" s="6" t="n">
        <f aca="false">2^(32-VALUE(SUBSTITUTE(F9,"/","")))</f>
        <v>8192</v>
      </c>
      <c r="H9" s="6" t="n">
        <f aca="false">G9-2</f>
        <v>8190</v>
      </c>
      <c r="I9" s="6" t="s">
        <v>52</v>
      </c>
      <c r="J9" s="6" t="s">
        <v>81</v>
      </c>
      <c r="K9" s="6" t="s">
        <v>82</v>
      </c>
      <c r="L9" s="6" t="s">
        <v>83</v>
      </c>
      <c r="M9" s="6" t="s">
        <v>84</v>
      </c>
      <c r="N9" s="6" t="n">
        <v>49152</v>
      </c>
    </row>
    <row r="10" customFormat="false" ht="15" hidden="false" customHeight="false" outlineLevel="0" collapsed="false">
      <c r="A10" s="6" t="n">
        <v>7</v>
      </c>
      <c r="B10" s="6" t="s">
        <v>85</v>
      </c>
      <c r="C10" s="6" t="s">
        <v>86</v>
      </c>
      <c r="D10" s="6" t="s">
        <v>87</v>
      </c>
      <c r="E10" s="6" t="n">
        <v>1800</v>
      </c>
      <c r="F10" s="6" t="s">
        <v>88</v>
      </c>
      <c r="G10" s="6" t="n">
        <f aca="false">2^(32-VALUE(SUBSTITUTE(F10,"/","")))</f>
        <v>2048</v>
      </c>
      <c r="H10" s="6" t="n">
        <f aca="false">G10-2</f>
        <v>2046</v>
      </c>
      <c r="I10" s="6" t="s">
        <v>89</v>
      </c>
      <c r="J10" s="6" t="s">
        <v>90</v>
      </c>
      <c r="K10" s="6" t="s">
        <v>91</v>
      </c>
      <c r="L10" s="6" t="s">
        <v>92</v>
      </c>
      <c r="M10" s="6" t="s">
        <v>93</v>
      </c>
      <c r="N10" s="6" t="n">
        <v>57344</v>
      </c>
    </row>
    <row r="11" customFormat="false" ht="15" hidden="false" customHeight="false" outlineLevel="0" collapsed="false">
      <c r="A11" s="6" t="n">
        <v>8</v>
      </c>
      <c r="B11" s="6" t="s">
        <v>94</v>
      </c>
      <c r="C11" s="6" t="s">
        <v>65</v>
      </c>
      <c r="D11" s="6" t="s">
        <v>95</v>
      </c>
      <c r="E11" s="6" t="n">
        <v>700</v>
      </c>
      <c r="F11" s="6" t="s">
        <v>96</v>
      </c>
      <c r="G11" s="6" t="n">
        <f aca="false">2^(32-VALUE(SUBSTITUTE(F11,"/","")))</f>
        <v>1024</v>
      </c>
      <c r="H11" s="6" t="n">
        <f aca="false">G11-2</f>
        <v>1022</v>
      </c>
      <c r="I11" s="6" t="s">
        <v>97</v>
      </c>
      <c r="J11" s="6" t="s">
        <v>98</v>
      </c>
      <c r="K11" s="6" t="s">
        <v>99</v>
      </c>
      <c r="L11" s="6" t="s">
        <v>100</v>
      </c>
      <c r="M11" s="6" t="s">
        <v>101</v>
      </c>
      <c r="N11" s="6" t="n">
        <v>59392</v>
      </c>
    </row>
    <row r="12" customFormat="false" ht="15" hidden="false" customHeight="false" outlineLevel="0" collapsed="false">
      <c r="A12" s="6" t="n">
        <v>9</v>
      </c>
      <c r="B12" s="6" t="s">
        <v>102</v>
      </c>
      <c r="C12" s="6" t="s">
        <v>40</v>
      </c>
      <c r="D12" s="6" t="s">
        <v>103</v>
      </c>
      <c r="E12" s="6" t="n">
        <v>450</v>
      </c>
      <c r="F12" s="6" t="s">
        <v>104</v>
      </c>
      <c r="G12" s="6" t="n">
        <f aca="false">2^(32-VALUE(SUBSTITUTE(F12,"/","")))</f>
        <v>512</v>
      </c>
      <c r="H12" s="6" t="n">
        <f aca="false">G12-2</f>
        <v>510</v>
      </c>
      <c r="I12" s="6" t="s">
        <v>105</v>
      </c>
      <c r="J12" s="6" t="s">
        <v>106</v>
      </c>
      <c r="K12" s="6" t="s">
        <v>107</v>
      </c>
      <c r="L12" s="6" t="s">
        <v>108</v>
      </c>
      <c r="M12" s="6" t="s">
        <v>109</v>
      </c>
      <c r="N12" s="6" t="n">
        <v>60416</v>
      </c>
    </row>
    <row r="13" customFormat="false" ht="15" hidden="false" customHeight="false" outlineLevel="0" collapsed="false">
      <c r="A13" s="6" t="n">
        <v>10</v>
      </c>
      <c r="B13" s="6" t="s">
        <v>110</v>
      </c>
      <c r="C13" s="6" t="s">
        <v>79</v>
      </c>
      <c r="D13" s="6" t="s">
        <v>111</v>
      </c>
      <c r="E13" s="6" t="n">
        <v>220</v>
      </c>
      <c r="F13" s="6" t="s">
        <v>112</v>
      </c>
      <c r="G13" s="6" t="n">
        <f aca="false">2^(32-VALUE(SUBSTITUTE(F13,"/","")))</f>
        <v>256</v>
      </c>
      <c r="H13" s="6" t="n">
        <f aca="false">G13-2</f>
        <v>254</v>
      </c>
      <c r="I13" s="6" t="s">
        <v>113</v>
      </c>
      <c r="J13" s="6" t="s">
        <v>114</v>
      </c>
      <c r="K13" s="6" t="s">
        <v>115</v>
      </c>
      <c r="L13" s="6" t="s">
        <v>116</v>
      </c>
      <c r="M13" s="6" t="s">
        <v>117</v>
      </c>
      <c r="N13" s="6" t="n">
        <v>60928</v>
      </c>
    </row>
    <row r="14" customFormat="false" ht="15" hidden="false" customHeight="false" outlineLevel="0" collapsed="false">
      <c r="A14" s="6" t="n">
        <v>11</v>
      </c>
      <c r="B14" s="6" t="s">
        <v>118</v>
      </c>
      <c r="C14" s="6" t="s">
        <v>58</v>
      </c>
      <c r="D14" s="6" t="s">
        <v>119</v>
      </c>
      <c r="E14" s="6" t="n">
        <v>180</v>
      </c>
      <c r="F14" s="6" t="s">
        <v>112</v>
      </c>
      <c r="G14" s="6" t="n">
        <f aca="false">2^(32-VALUE(SUBSTITUTE(F14,"/","")))</f>
        <v>256</v>
      </c>
      <c r="H14" s="6" t="n">
        <f aca="false">G14-2</f>
        <v>254</v>
      </c>
      <c r="I14" s="6" t="s">
        <v>113</v>
      </c>
      <c r="J14" s="6" t="s">
        <v>120</v>
      </c>
      <c r="K14" s="6" t="s">
        <v>121</v>
      </c>
      <c r="L14" s="6" t="s">
        <v>122</v>
      </c>
      <c r="M14" s="6" t="s">
        <v>123</v>
      </c>
      <c r="N14" s="6" t="n">
        <v>61184</v>
      </c>
    </row>
    <row r="15" customFormat="false" ht="15" hidden="false" customHeight="false" outlineLevel="0" collapsed="false">
      <c r="A15" s="6" t="n">
        <v>12</v>
      </c>
      <c r="B15" s="6" t="s">
        <v>124</v>
      </c>
      <c r="C15" s="6" t="s">
        <v>72</v>
      </c>
      <c r="D15" s="6" t="s">
        <v>125</v>
      </c>
      <c r="E15" s="6" t="n">
        <v>120</v>
      </c>
      <c r="F15" s="6" t="s">
        <v>126</v>
      </c>
      <c r="G15" s="6" t="n">
        <f aca="false">2^(32-VALUE(SUBSTITUTE(F15,"/","")))</f>
        <v>128</v>
      </c>
      <c r="H15" s="6" t="n">
        <f aca="false">G15-2</f>
        <v>126</v>
      </c>
      <c r="I15" s="6" t="s">
        <v>127</v>
      </c>
      <c r="J15" s="6" t="s">
        <v>128</v>
      </c>
      <c r="K15" s="6" t="s">
        <v>129</v>
      </c>
      <c r="L15" s="6" t="s">
        <v>130</v>
      </c>
      <c r="M15" s="6" t="s">
        <v>131</v>
      </c>
      <c r="N15" s="6" t="n">
        <v>61440</v>
      </c>
    </row>
    <row r="16" customFormat="false" ht="15" hidden="false" customHeight="false" outlineLevel="0" collapsed="false">
      <c r="A16" s="6" t="n">
        <v>13</v>
      </c>
      <c r="B16" s="6" t="s">
        <v>132</v>
      </c>
      <c r="C16" s="6" t="s">
        <v>49</v>
      </c>
      <c r="D16" s="6" t="s">
        <v>133</v>
      </c>
      <c r="E16" s="6" t="n">
        <v>90</v>
      </c>
      <c r="F16" s="6" t="s">
        <v>126</v>
      </c>
      <c r="G16" s="6" t="n">
        <f aca="false">2^(32-VALUE(SUBSTITUTE(F16,"/","")))</f>
        <v>128</v>
      </c>
      <c r="H16" s="6" t="n">
        <f aca="false">G16-2</f>
        <v>126</v>
      </c>
      <c r="I16" s="6" t="s">
        <v>127</v>
      </c>
      <c r="J16" s="6" t="s">
        <v>134</v>
      </c>
      <c r="K16" s="6" t="s">
        <v>135</v>
      </c>
      <c r="L16" s="6" t="s">
        <v>136</v>
      </c>
      <c r="M16" s="6" t="s">
        <v>137</v>
      </c>
      <c r="N16" s="6" t="n">
        <v>61568</v>
      </c>
    </row>
    <row r="17" customFormat="false" ht="15" hidden="false" customHeight="false" outlineLevel="0" collapsed="false">
      <c r="A17" s="6" t="n">
        <v>14</v>
      </c>
      <c r="B17" s="6" t="s">
        <v>138</v>
      </c>
      <c r="C17" s="6" t="s">
        <v>86</v>
      </c>
      <c r="D17" s="6" t="s">
        <v>139</v>
      </c>
      <c r="E17" s="6" t="n">
        <v>20</v>
      </c>
      <c r="F17" s="6" t="s">
        <v>140</v>
      </c>
      <c r="G17" s="6" t="n">
        <f aca="false">2^(32-VALUE(SUBSTITUTE(F17,"/","")))</f>
        <v>32</v>
      </c>
      <c r="H17" s="6" t="n">
        <f aca="false">G17-2</f>
        <v>30</v>
      </c>
      <c r="I17" s="6" t="s">
        <v>141</v>
      </c>
      <c r="J17" s="6" t="s">
        <v>142</v>
      </c>
      <c r="K17" s="6" t="s">
        <v>143</v>
      </c>
      <c r="L17" s="6" t="s">
        <v>144</v>
      </c>
      <c r="M17" s="6" t="s">
        <v>145</v>
      </c>
      <c r="N17" s="6" t="n">
        <v>61696</v>
      </c>
    </row>
    <row r="19" customFormat="false" ht="15" hidden="false" customHeight="false" outlineLevel="0" collapsed="false">
      <c r="B19" s="2" t="s">
        <v>146</v>
      </c>
      <c r="E19" s="2" t="n">
        <f aca="false">SUM(G4:G17)</f>
        <v>61728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9" min="7" style="0" width="16"/>
    <col collapsed="false" customWidth="true" hidden="false" outlineLevel="0" max="10" min="10" style="0" width="34"/>
  </cols>
  <sheetData>
    <row r="1" customFormat="false" ht="16.15" hidden="false" customHeight="false" outlineLevel="0" collapsed="false">
      <c r="A1" s="1" t="s">
        <v>147</v>
      </c>
    </row>
    <row r="3" customFormat="false" ht="15" hidden="false" customHeight="false" outlineLevel="0" collapsed="false">
      <c r="A3" s="5" t="s">
        <v>148</v>
      </c>
      <c r="B3" s="5" t="s">
        <v>149</v>
      </c>
      <c r="C3" s="5" t="s">
        <v>150</v>
      </c>
      <c r="D3" s="5" t="s">
        <v>151</v>
      </c>
      <c r="E3" s="5" t="s">
        <v>30</v>
      </c>
      <c r="F3" s="5" t="s">
        <v>152</v>
      </c>
      <c r="G3" s="5" t="s">
        <v>153</v>
      </c>
      <c r="H3" s="5" t="s">
        <v>154</v>
      </c>
      <c r="I3" s="5" t="s">
        <v>36</v>
      </c>
      <c r="J3" s="5" t="s">
        <v>155</v>
      </c>
    </row>
    <row r="4" customFormat="false" ht="15" hidden="false" customHeight="false" outlineLevel="0" collapsed="false">
      <c r="A4" s="6" t="s">
        <v>156</v>
      </c>
      <c r="B4" s="6" t="s">
        <v>86</v>
      </c>
      <c r="C4" s="6" t="s">
        <v>58</v>
      </c>
      <c r="D4" s="6" t="s">
        <v>157</v>
      </c>
      <c r="E4" s="6" t="s">
        <v>158</v>
      </c>
      <c r="F4" s="6" t="s">
        <v>159</v>
      </c>
      <c r="G4" s="6" t="s">
        <v>160</v>
      </c>
      <c r="H4" s="6" t="s">
        <v>161</v>
      </c>
      <c r="I4" s="6" t="s">
        <v>162</v>
      </c>
      <c r="J4" s="6" t="s">
        <v>163</v>
      </c>
    </row>
    <row r="5" customFormat="false" ht="15" hidden="false" customHeight="false" outlineLevel="0" collapsed="false">
      <c r="A5" s="6" t="s">
        <v>164</v>
      </c>
      <c r="B5" s="6" t="s">
        <v>86</v>
      </c>
      <c r="C5" s="6" t="s">
        <v>40</v>
      </c>
      <c r="D5" s="6" t="s">
        <v>165</v>
      </c>
      <c r="E5" s="6" t="s">
        <v>158</v>
      </c>
      <c r="F5" s="6" t="s">
        <v>159</v>
      </c>
      <c r="G5" s="6" t="s">
        <v>166</v>
      </c>
      <c r="H5" s="6" t="s">
        <v>167</v>
      </c>
      <c r="I5" s="6" t="s">
        <v>168</v>
      </c>
      <c r="J5" s="6" t="s">
        <v>163</v>
      </c>
    </row>
    <row r="6" customFormat="false" ht="15" hidden="false" customHeight="false" outlineLevel="0" collapsed="false">
      <c r="A6" s="6" t="s">
        <v>169</v>
      </c>
      <c r="B6" s="6" t="s">
        <v>86</v>
      </c>
      <c r="C6" s="6" t="s">
        <v>49</v>
      </c>
      <c r="D6" s="6" t="s">
        <v>170</v>
      </c>
      <c r="E6" s="6" t="s">
        <v>158</v>
      </c>
      <c r="F6" s="6" t="s">
        <v>159</v>
      </c>
      <c r="G6" s="6" t="s">
        <v>171</v>
      </c>
      <c r="H6" s="6" t="s">
        <v>172</v>
      </c>
      <c r="I6" s="6" t="s">
        <v>173</v>
      </c>
      <c r="J6" s="6" t="s">
        <v>163</v>
      </c>
    </row>
    <row r="7" customFormat="false" ht="15" hidden="false" customHeight="false" outlineLevel="0" collapsed="false">
      <c r="A7" s="6" t="s">
        <v>174</v>
      </c>
      <c r="B7" s="6" t="s">
        <v>86</v>
      </c>
      <c r="C7" s="6" t="s">
        <v>65</v>
      </c>
      <c r="D7" s="6" t="s">
        <v>175</v>
      </c>
      <c r="E7" s="6" t="s">
        <v>158</v>
      </c>
      <c r="F7" s="6" t="s">
        <v>159</v>
      </c>
      <c r="G7" s="6" t="s">
        <v>176</v>
      </c>
      <c r="H7" s="6" t="s">
        <v>177</v>
      </c>
      <c r="I7" s="6" t="s">
        <v>178</v>
      </c>
      <c r="J7" s="6" t="s">
        <v>163</v>
      </c>
    </row>
    <row r="8" customFormat="false" ht="15" hidden="false" customHeight="false" outlineLevel="0" collapsed="false">
      <c r="A8" s="6" t="s">
        <v>179</v>
      </c>
      <c r="B8" s="6" t="s">
        <v>86</v>
      </c>
      <c r="C8" s="6" t="s">
        <v>79</v>
      </c>
      <c r="D8" s="6" t="s">
        <v>180</v>
      </c>
      <c r="E8" s="6" t="s">
        <v>158</v>
      </c>
      <c r="F8" s="6" t="s">
        <v>159</v>
      </c>
      <c r="G8" s="6" t="s">
        <v>181</v>
      </c>
      <c r="H8" s="6" t="s">
        <v>182</v>
      </c>
      <c r="I8" s="6" t="s">
        <v>183</v>
      </c>
      <c r="J8" s="6" t="s">
        <v>163</v>
      </c>
    </row>
    <row r="9" customFormat="false" ht="15" hidden="false" customHeight="false" outlineLevel="0" collapsed="false">
      <c r="A9" s="6" t="s">
        <v>184</v>
      </c>
      <c r="B9" s="6" t="s">
        <v>40</v>
      </c>
      <c r="C9" s="6" t="s">
        <v>72</v>
      </c>
      <c r="D9" s="6" t="s">
        <v>185</v>
      </c>
      <c r="E9" s="6" t="s">
        <v>158</v>
      </c>
      <c r="F9" s="6" t="s">
        <v>159</v>
      </c>
      <c r="G9" s="6" t="s">
        <v>186</v>
      </c>
      <c r="H9" s="6" t="s">
        <v>187</v>
      </c>
      <c r="I9" s="6" t="s">
        <v>188</v>
      </c>
      <c r="J9" s="6" t="s">
        <v>163</v>
      </c>
    </row>
    <row r="10" customFormat="false" ht="15" hidden="false" customHeight="false" outlineLevel="0" collapsed="false">
      <c r="A10" s="6" t="s">
        <v>189</v>
      </c>
      <c r="B10" s="6" t="s">
        <v>58</v>
      </c>
      <c r="C10" s="6" t="s">
        <v>40</v>
      </c>
      <c r="D10" s="6" t="s">
        <v>190</v>
      </c>
      <c r="E10" s="6" t="s">
        <v>158</v>
      </c>
      <c r="F10" s="6" t="s">
        <v>159</v>
      </c>
      <c r="G10" s="6" t="s">
        <v>191</v>
      </c>
      <c r="H10" s="6" t="s">
        <v>192</v>
      </c>
      <c r="I10" s="6" t="s">
        <v>193</v>
      </c>
      <c r="J10" s="6" t="s">
        <v>194</v>
      </c>
    </row>
    <row r="12" customFormat="false" ht="16.15" hidden="false" customHeight="false" outlineLevel="0" collapsed="false">
      <c r="A12" s="1" t="s">
        <v>195</v>
      </c>
    </row>
    <row r="13" customFormat="false" ht="15" hidden="false" customHeight="false" outlineLevel="0" collapsed="false">
      <c r="A13" s="3" t="s">
        <v>196</v>
      </c>
      <c r="B13" s="3" t="s">
        <v>197</v>
      </c>
      <c r="C13" s="3" t="s">
        <v>198</v>
      </c>
      <c r="D13" s="3" t="s">
        <v>199</v>
      </c>
      <c r="E13" s="3" t="s">
        <v>200</v>
      </c>
    </row>
    <row r="14" customFormat="false" ht="15" hidden="false" customHeight="false" outlineLevel="0" collapsed="false">
      <c r="A14" s="3" t="s">
        <v>13</v>
      </c>
      <c r="B14" s="3" t="s">
        <v>201</v>
      </c>
      <c r="C14" s="3" t="s">
        <v>202</v>
      </c>
      <c r="D14" s="3" t="s">
        <v>203</v>
      </c>
      <c r="E14" s="3" t="s">
        <v>204</v>
      </c>
    </row>
    <row r="15" customFormat="false" ht="15" hidden="false" customHeight="false" outlineLevel="0" collapsed="false">
      <c r="A15" s="3" t="s">
        <v>15</v>
      </c>
      <c r="B15" s="3" t="s">
        <v>205</v>
      </c>
      <c r="C15" s="3" t="s">
        <v>206</v>
      </c>
      <c r="D15" s="3" t="s">
        <v>207</v>
      </c>
      <c r="E15" s="3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32"/>
    <col collapsed="false" customWidth="true" hidden="false" outlineLevel="0" max="12" min="11" style="0" width="16"/>
    <col collapsed="false" customWidth="true" hidden="false" outlineLevel="0" max="13" min="13" style="0" width="15"/>
  </cols>
  <sheetData>
    <row r="1" customFormat="false" ht="16.15" hidden="false" customHeight="false" outlineLevel="0" collapsed="false">
      <c r="A1" s="1" t="s">
        <v>209</v>
      </c>
    </row>
    <row r="2" customFormat="false" ht="15" hidden="false" customHeight="false" outlineLevel="0" collapsed="false">
      <c r="A2" s="7" t="s">
        <v>210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customFormat="false" ht="15" hidden="false" customHeight="false" outlineLevel="0" collapsed="false">
      <c r="A3" s="7" t="s">
        <v>211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customFormat="false" ht="15" hidden="false" customHeight="false" outlineLevel="0" collapsed="false">
      <c r="A4" s="7" t="s">
        <v>212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customFormat="false" ht="15" hidden="false" customHeight="false" outlineLevel="0" collapsed="false">
      <c r="A5" s="7" t="s">
        <v>213</v>
      </c>
      <c r="B5" s="7"/>
      <c r="C5" s="7"/>
      <c r="D5" s="7"/>
      <c r="E5" s="7"/>
      <c r="F5" s="7"/>
      <c r="G5" s="7"/>
      <c r="H5" s="7"/>
      <c r="I5" s="7"/>
      <c r="J5" s="7"/>
      <c r="K5" s="7"/>
    </row>
    <row r="7" customFormat="false" ht="23.85" hidden="false" customHeight="false" outlineLevel="0" collapsed="false">
      <c r="A7" s="5" t="s">
        <v>25</v>
      </c>
      <c r="B7" s="5" t="s">
        <v>26</v>
      </c>
      <c r="C7" s="5" t="s">
        <v>27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5" t="s">
        <v>34</v>
      </c>
      <c r="J7" s="5" t="s">
        <v>35</v>
      </c>
      <c r="K7" s="5" t="s">
        <v>36</v>
      </c>
      <c r="L7" s="5" t="s">
        <v>37</v>
      </c>
      <c r="M7" s="5" t="s">
        <v>214</v>
      </c>
    </row>
    <row r="8" customFormat="false" ht="15" hidden="false" customHeight="false" outlineLevel="0" collapsed="false">
      <c r="A8" s="6" t="n">
        <v>1</v>
      </c>
      <c r="B8" s="6" t="s">
        <v>85</v>
      </c>
      <c r="C8" s="6" t="s">
        <v>86</v>
      </c>
      <c r="D8" s="6" t="n">
        <v>1800</v>
      </c>
      <c r="E8" s="6" t="s">
        <v>42</v>
      </c>
      <c r="F8" s="6" t="n">
        <f aca="false">2^(32-18)</f>
        <v>16384</v>
      </c>
      <c r="G8" s="6" t="n">
        <f aca="false">F8-2</f>
        <v>16382</v>
      </c>
      <c r="H8" s="6" t="s">
        <v>43</v>
      </c>
      <c r="I8" s="6" t="s">
        <v>44</v>
      </c>
      <c r="J8" s="6" t="s">
        <v>45</v>
      </c>
      <c r="K8" s="6" t="s">
        <v>46</v>
      </c>
      <c r="L8" s="6" t="s">
        <v>47</v>
      </c>
      <c r="M8" s="6" t="n">
        <f aca="false">G8-D8</f>
        <v>14582</v>
      </c>
    </row>
    <row r="9" customFormat="false" ht="15" hidden="false" customHeight="false" outlineLevel="0" collapsed="false">
      <c r="A9" s="6" t="n">
        <v>2</v>
      </c>
      <c r="B9" s="6" t="s">
        <v>138</v>
      </c>
      <c r="C9" s="6" t="s">
        <v>86</v>
      </c>
      <c r="D9" s="6" t="n">
        <v>20</v>
      </c>
      <c r="E9" s="6" t="s">
        <v>42</v>
      </c>
      <c r="F9" s="6" t="n">
        <f aca="false">2^(32-18)</f>
        <v>16384</v>
      </c>
      <c r="G9" s="6" t="n">
        <f aca="false">F9-2</f>
        <v>16382</v>
      </c>
      <c r="H9" s="6" t="s">
        <v>43</v>
      </c>
      <c r="I9" s="6" t="s">
        <v>53</v>
      </c>
      <c r="J9" s="6" t="s">
        <v>215</v>
      </c>
      <c r="K9" s="6" t="s">
        <v>62</v>
      </c>
      <c r="L9" s="6" t="s">
        <v>56</v>
      </c>
      <c r="M9" s="6" t="n">
        <f aca="false">G9-D9</f>
        <v>16362</v>
      </c>
    </row>
    <row r="10" customFormat="false" ht="15" hidden="false" customHeight="false" outlineLevel="0" collapsed="false">
      <c r="A10" s="6" t="n">
        <v>3</v>
      </c>
      <c r="B10" s="6" t="s">
        <v>57</v>
      </c>
      <c r="C10" s="6" t="s">
        <v>58</v>
      </c>
      <c r="D10" s="6" t="n">
        <v>6000</v>
      </c>
      <c r="E10" s="6" t="s">
        <v>42</v>
      </c>
      <c r="F10" s="6" t="n">
        <f aca="false">2^(32-18)</f>
        <v>16384</v>
      </c>
      <c r="G10" s="6" t="n">
        <f aca="false">F10-2</f>
        <v>16382</v>
      </c>
      <c r="H10" s="6" t="s">
        <v>43</v>
      </c>
      <c r="I10" s="6" t="s">
        <v>67</v>
      </c>
      <c r="J10" s="6" t="s">
        <v>216</v>
      </c>
      <c r="K10" s="6" t="s">
        <v>76</v>
      </c>
      <c r="L10" s="6" t="s">
        <v>70</v>
      </c>
      <c r="M10" s="6" t="n">
        <f aca="false">G10-D10</f>
        <v>10382</v>
      </c>
    </row>
    <row r="11" customFormat="false" ht="15" hidden="false" customHeight="false" outlineLevel="0" collapsed="false">
      <c r="A11" s="6" t="n">
        <v>4</v>
      </c>
      <c r="B11" s="6" t="s">
        <v>118</v>
      </c>
      <c r="C11" s="6" t="s">
        <v>58</v>
      </c>
      <c r="D11" s="6" t="n">
        <v>180</v>
      </c>
      <c r="E11" s="6" t="s">
        <v>42</v>
      </c>
      <c r="F11" s="6" t="n">
        <f aca="false">2^(32-18)</f>
        <v>16384</v>
      </c>
      <c r="G11" s="6" t="n">
        <f aca="false">F11-2</f>
        <v>16382</v>
      </c>
      <c r="H11" s="6" t="s">
        <v>43</v>
      </c>
      <c r="I11" s="6" t="s">
        <v>81</v>
      </c>
      <c r="J11" s="6" t="s">
        <v>217</v>
      </c>
      <c r="K11" s="6" t="s">
        <v>218</v>
      </c>
      <c r="L11" s="6" t="s">
        <v>84</v>
      </c>
      <c r="M11" s="6" t="n">
        <f aca="false">G11-D11</f>
        <v>16202</v>
      </c>
    </row>
    <row r="12" customFormat="false" ht="15" hidden="false" customHeight="false" outlineLevel="0" collapsed="false">
      <c r="A12" s="6" t="n">
        <v>5</v>
      </c>
      <c r="B12" s="6" t="s">
        <v>78</v>
      </c>
      <c r="C12" s="6" t="s">
        <v>79</v>
      </c>
      <c r="D12" s="6" t="n">
        <v>4500</v>
      </c>
      <c r="E12" s="6" t="s">
        <v>42</v>
      </c>
      <c r="F12" s="6" t="n">
        <f aca="false">2^(32-18)</f>
        <v>16384</v>
      </c>
      <c r="G12" s="6" t="n">
        <f aca="false">F12-2</f>
        <v>16382</v>
      </c>
      <c r="H12" s="6" t="s">
        <v>43</v>
      </c>
      <c r="I12" s="6" t="s">
        <v>219</v>
      </c>
      <c r="J12" s="6" t="s">
        <v>220</v>
      </c>
      <c r="K12" s="6" t="s">
        <v>221</v>
      </c>
      <c r="L12" s="6" t="s">
        <v>222</v>
      </c>
      <c r="M12" s="6" t="n">
        <f aca="false">G12-D12</f>
        <v>11882</v>
      </c>
    </row>
    <row r="13" customFormat="false" ht="15" hidden="false" customHeight="false" outlineLevel="0" collapsed="false">
      <c r="A13" s="6" t="n">
        <v>6</v>
      </c>
      <c r="B13" s="6" t="s">
        <v>110</v>
      </c>
      <c r="C13" s="6" t="s">
        <v>79</v>
      </c>
      <c r="D13" s="6" t="n">
        <v>220</v>
      </c>
      <c r="E13" s="6" t="s">
        <v>42</v>
      </c>
      <c r="F13" s="6" t="n">
        <f aca="false">2^(32-18)</f>
        <v>16384</v>
      </c>
      <c r="G13" s="6" t="n">
        <f aca="false">F13-2</f>
        <v>16382</v>
      </c>
      <c r="H13" s="6" t="s">
        <v>43</v>
      </c>
      <c r="I13" s="6" t="s">
        <v>223</v>
      </c>
      <c r="J13" s="6" t="s">
        <v>224</v>
      </c>
      <c r="K13" s="6" t="s">
        <v>225</v>
      </c>
      <c r="L13" s="6" t="s">
        <v>226</v>
      </c>
      <c r="M13" s="6" t="n">
        <f aca="false">G13-D13</f>
        <v>16162</v>
      </c>
    </row>
    <row r="14" customFormat="false" ht="15" hidden="false" customHeight="false" outlineLevel="0" collapsed="false">
      <c r="A14" s="6" t="n">
        <v>7</v>
      </c>
      <c r="B14" s="6" t="s">
        <v>39</v>
      </c>
      <c r="C14" s="6" t="s">
        <v>40</v>
      </c>
      <c r="D14" s="6" t="n">
        <v>11000</v>
      </c>
      <c r="E14" s="6" t="s">
        <v>42</v>
      </c>
      <c r="F14" s="6" t="n">
        <f aca="false">2^(32-18)</f>
        <v>16384</v>
      </c>
      <c r="G14" s="6" t="n">
        <f aca="false">F14-2</f>
        <v>16382</v>
      </c>
      <c r="H14" s="6" t="s">
        <v>43</v>
      </c>
      <c r="I14" s="6" t="s">
        <v>227</v>
      </c>
      <c r="J14" s="6" t="s">
        <v>228</v>
      </c>
      <c r="K14" s="6" t="s">
        <v>229</v>
      </c>
      <c r="L14" s="6" t="s">
        <v>230</v>
      </c>
      <c r="M14" s="6" t="n">
        <f aca="false">G14-D14</f>
        <v>5382</v>
      </c>
    </row>
    <row r="15" customFormat="false" ht="15" hidden="false" customHeight="false" outlineLevel="0" collapsed="false">
      <c r="A15" s="6" t="n">
        <v>8</v>
      </c>
      <c r="B15" s="6" t="s">
        <v>102</v>
      </c>
      <c r="C15" s="6" t="s">
        <v>40</v>
      </c>
      <c r="D15" s="6" t="n">
        <v>450</v>
      </c>
      <c r="E15" s="6" t="s">
        <v>42</v>
      </c>
      <c r="F15" s="6" t="n">
        <f aca="false">2^(32-18)</f>
        <v>16384</v>
      </c>
      <c r="G15" s="6" t="n">
        <f aca="false">F15-2</f>
        <v>16382</v>
      </c>
      <c r="H15" s="6" t="s">
        <v>43</v>
      </c>
      <c r="I15" s="6" t="s">
        <v>231</v>
      </c>
      <c r="J15" s="6" t="s">
        <v>232</v>
      </c>
      <c r="K15" s="6" t="s">
        <v>233</v>
      </c>
      <c r="L15" s="6" t="s">
        <v>234</v>
      </c>
      <c r="M15" s="6" t="n">
        <f aca="false">G15-D15</f>
        <v>15932</v>
      </c>
    </row>
    <row r="16" customFormat="false" ht="15" hidden="false" customHeight="false" outlineLevel="0" collapsed="false">
      <c r="A16" s="6" t="n">
        <v>9</v>
      </c>
      <c r="B16" s="6" t="s">
        <v>64</v>
      </c>
      <c r="C16" s="6" t="s">
        <v>65</v>
      </c>
      <c r="D16" s="6" t="n">
        <v>5500</v>
      </c>
      <c r="E16" s="6" t="s">
        <v>42</v>
      </c>
      <c r="F16" s="6" t="n">
        <f aca="false">2^(32-18)</f>
        <v>16384</v>
      </c>
      <c r="G16" s="6" t="n">
        <f aca="false">F16-2</f>
        <v>16382</v>
      </c>
      <c r="H16" s="6" t="s">
        <v>43</v>
      </c>
      <c r="I16" s="6" t="s">
        <v>235</v>
      </c>
      <c r="J16" s="6" t="s">
        <v>236</v>
      </c>
      <c r="K16" s="6" t="s">
        <v>237</v>
      </c>
      <c r="L16" s="6" t="s">
        <v>238</v>
      </c>
      <c r="M16" s="6" t="n">
        <f aca="false">G16-D16</f>
        <v>10882</v>
      </c>
    </row>
    <row r="17" customFormat="false" ht="15" hidden="false" customHeight="false" outlineLevel="0" collapsed="false">
      <c r="A17" s="6" t="n">
        <v>10</v>
      </c>
      <c r="B17" s="6" t="s">
        <v>94</v>
      </c>
      <c r="C17" s="6" t="s">
        <v>65</v>
      </c>
      <c r="D17" s="6" t="n">
        <v>700</v>
      </c>
      <c r="E17" s="6" t="s">
        <v>42</v>
      </c>
      <c r="F17" s="6" t="n">
        <f aca="false">2^(32-18)</f>
        <v>16384</v>
      </c>
      <c r="G17" s="6" t="n">
        <f aca="false">F17-2</f>
        <v>16382</v>
      </c>
      <c r="H17" s="6" t="s">
        <v>43</v>
      </c>
      <c r="I17" s="6" t="s">
        <v>239</v>
      </c>
      <c r="J17" s="6" t="s">
        <v>240</v>
      </c>
      <c r="K17" s="6" t="s">
        <v>241</v>
      </c>
      <c r="L17" s="6" t="s">
        <v>242</v>
      </c>
      <c r="M17" s="6" t="n">
        <f aca="false">G17-D17</f>
        <v>15682</v>
      </c>
    </row>
    <row r="18" customFormat="false" ht="15" hidden="false" customHeight="false" outlineLevel="0" collapsed="false">
      <c r="A18" s="6" t="n">
        <v>11</v>
      </c>
      <c r="B18" s="6" t="s">
        <v>48</v>
      </c>
      <c r="C18" s="6" t="s">
        <v>49</v>
      </c>
      <c r="D18" s="6" t="n">
        <v>6500</v>
      </c>
      <c r="E18" s="6" t="s">
        <v>42</v>
      </c>
      <c r="F18" s="6" t="n">
        <f aca="false">2^(32-18)</f>
        <v>16384</v>
      </c>
      <c r="G18" s="6" t="n">
        <f aca="false">F18-2</f>
        <v>16382</v>
      </c>
      <c r="H18" s="6" t="s">
        <v>43</v>
      </c>
      <c r="I18" s="6" t="s">
        <v>243</v>
      </c>
      <c r="J18" s="6" t="s">
        <v>244</v>
      </c>
      <c r="K18" s="6" t="s">
        <v>245</v>
      </c>
      <c r="L18" s="6" t="s">
        <v>246</v>
      </c>
      <c r="M18" s="6" t="n">
        <f aca="false">G18-D18</f>
        <v>9882</v>
      </c>
    </row>
    <row r="19" customFormat="false" ht="15" hidden="false" customHeight="false" outlineLevel="0" collapsed="false">
      <c r="A19" s="6" t="n">
        <v>12</v>
      </c>
      <c r="B19" s="6" t="s">
        <v>132</v>
      </c>
      <c r="C19" s="6" t="s">
        <v>49</v>
      </c>
      <c r="D19" s="6" t="n">
        <v>90</v>
      </c>
      <c r="E19" s="6" t="s">
        <v>42</v>
      </c>
      <c r="F19" s="6" t="n">
        <f aca="false">2^(32-18)</f>
        <v>16384</v>
      </c>
      <c r="G19" s="6" t="n">
        <f aca="false">F19-2</f>
        <v>16382</v>
      </c>
      <c r="H19" s="6" t="s">
        <v>43</v>
      </c>
      <c r="I19" s="6" t="s">
        <v>247</v>
      </c>
      <c r="J19" s="6" t="s">
        <v>248</v>
      </c>
      <c r="K19" s="6" t="s">
        <v>249</v>
      </c>
      <c r="L19" s="6" t="s">
        <v>250</v>
      </c>
      <c r="M19" s="6" t="n">
        <f aca="false">G19-D19</f>
        <v>16292</v>
      </c>
    </row>
    <row r="20" customFormat="false" ht="15" hidden="false" customHeight="false" outlineLevel="0" collapsed="false">
      <c r="A20" s="6" t="n">
        <v>13</v>
      </c>
      <c r="B20" s="6" t="s">
        <v>71</v>
      </c>
      <c r="C20" s="6" t="s">
        <v>72</v>
      </c>
      <c r="D20" s="6" t="n">
        <v>5000</v>
      </c>
      <c r="E20" s="6" t="s">
        <v>42</v>
      </c>
      <c r="F20" s="6" t="n">
        <f aca="false">2^(32-18)</f>
        <v>16384</v>
      </c>
      <c r="G20" s="6" t="n">
        <f aca="false">F20-2</f>
        <v>16382</v>
      </c>
      <c r="H20" s="6" t="s">
        <v>43</v>
      </c>
      <c r="I20" s="6" t="s">
        <v>251</v>
      </c>
      <c r="J20" s="6" t="s">
        <v>252</v>
      </c>
      <c r="K20" s="6" t="s">
        <v>253</v>
      </c>
      <c r="L20" s="6" t="s">
        <v>254</v>
      </c>
      <c r="M20" s="6" t="n">
        <f aca="false">G20-D20</f>
        <v>11382</v>
      </c>
    </row>
    <row r="21" customFormat="false" ht="15" hidden="false" customHeight="false" outlineLevel="0" collapsed="false">
      <c r="A21" s="6" t="n">
        <v>14</v>
      </c>
      <c r="B21" s="6" t="s">
        <v>124</v>
      </c>
      <c r="C21" s="6" t="s">
        <v>72</v>
      </c>
      <c r="D21" s="6" t="n">
        <v>120</v>
      </c>
      <c r="E21" s="6" t="s">
        <v>42</v>
      </c>
      <c r="F21" s="6" t="n">
        <f aca="false">2^(32-18)</f>
        <v>16384</v>
      </c>
      <c r="G21" s="6" t="n">
        <f aca="false">F21-2</f>
        <v>16382</v>
      </c>
      <c r="H21" s="6" t="s">
        <v>43</v>
      </c>
      <c r="I21" s="6" t="s">
        <v>255</v>
      </c>
      <c r="J21" s="6" t="s">
        <v>256</v>
      </c>
      <c r="K21" s="6" t="s">
        <v>257</v>
      </c>
      <c r="L21" s="6" t="s">
        <v>258</v>
      </c>
      <c r="M21" s="6" t="n">
        <f aca="false">G21-D21</f>
        <v>16262</v>
      </c>
    </row>
    <row r="23" customFormat="false" ht="15" hidden="false" customHeight="false" outlineLevel="0" collapsed="false">
      <c r="B23" s="2" t="s">
        <v>259</v>
      </c>
      <c r="D23" s="2" t="n">
        <f aca="false">SUM(M8:M21)</f>
        <v>187268</v>
      </c>
    </row>
  </sheetData>
  <mergeCells count="4">
    <mergeCell ref="A2:K2"/>
    <mergeCell ref="A3:K3"/>
    <mergeCell ref="A4:K4"/>
    <mergeCell ref="A5: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3" t="s">
        <v>261</v>
      </c>
    </row>
    <row r="4" customFormat="false" ht="15" hidden="false" customHeight="false" outlineLevel="0" collapsed="false">
      <c r="A4" s="5" t="s">
        <v>25</v>
      </c>
      <c r="B4" s="5" t="s">
        <v>27</v>
      </c>
      <c r="C4" s="5" t="s">
        <v>262</v>
      </c>
      <c r="D4" s="5" t="s">
        <v>263</v>
      </c>
      <c r="E4" s="5" t="s">
        <v>264</v>
      </c>
      <c r="F4" s="5" t="s">
        <v>265</v>
      </c>
      <c r="G4" s="5" t="s">
        <v>266</v>
      </c>
      <c r="H4" s="5" t="s">
        <v>36</v>
      </c>
    </row>
    <row r="5" customFormat="false" ht="15" hidden="false" customHeight="false" outlineLevel="0" collapsed="false">
      <c r="A5" s="6" t="n">
        <v>1</v>
      </c>
      <c r="B5" s="6" t="s">
        <v>86</v>
      </c>
      <c r="C5" s="6" t="s">
        <v>267</v>
      </c>
      <c r="D5" s="6" t="n">
        <f aca="false">2^(32-17)</f>
        <v>32768</v>
      </c>
      <c r="E5" s="6" t="s">
        <v>268</v>
      </c>
      <c r="F5" s="6" t="s">
        <v>44</v>
      </c>
      <c r="G5" s="6" t="s">
        <v>269</v>
      </c>
      <c r="H5" s="6" t="s">
        <v>62</v>
      </c>
    </row>
    <row r="6" customFormat="false" ht="15" hidden="false" customHeight="false" outlineLevel="0" collapsed="false">
      <c r="A6" s="6" t="n">
        <v>2</v>
      </c>
      <c r="B6" s="6" t="s">
        <v>58</v>
      </c>
      <c r="C6" s="6" t="s">
        <v>270</v>
      </c>
      <c r="D6" s="6" t="n">
        <f aca="false">2^(32-17)</f>
        <v>32768</v>
      </c>
      <c r="E6" s="6" t="s">
        <v>268</v>
      </c>
      <c r="F6" s="6" t="s">
        <v>67</v>
      </c>
      <c r="G6" s="6" t="s">
        <v>271</v>
      </c>
      <c r="H6" s="6" t="s">
        <v>218</v>
      </c>
    </row>
    <row r="7" customFormat="false" ht="15" hidden="false" customHeight="false" outlineLevel="0" collapsed="false">
      <c r="A7" s="6" t="n">
        <v>3</v>
      </c>
      <c r="B7" s="6" t="s">
        <v>79</v>
      </c>
      <c r="C7" s="6" t="s">
        <v>272</v>
      </c>
      <c r="D7" s="6" t="n">
        <f aca="false">2^(32-17)</f>
        <v>32768</v>
      </c>
      <c r="E7" s="6" t="s">
        <v>268</v>
      </c>
      <c r="F7" s="6" t="s">
        <v>219</v>
      </c>
      <c r="G7" s="6" t="s">
        <v>273</v>
      </c>
      <c r="H7" s="6" t="s">
        <v>225</v>
      </c>
    </row>
    <row r="8" customFormat="false" ht="15" hidden="false" customHeight="false" outlineLevel="0" collapsed="false">
      <c r="A8" s="6" t="n">
        <v>4</v>
      </c>
      <c r="B8" s="6" t="s">
        <v>40</v>
      </c>
      <c r="C8" s="6" t="s">
        <v>274</v>
      </c>
      <c r="D8" s="6" t="n">
        <f aca="false">2^(32-17)</f>
        <v>32768</v>
      </c>
      <c r="E8" s="6" t="s">
        <v>268</v>
      </c>
      <c r="F8" s="6" t="s">
        <v>227</v>
      </c>
      <c r="G8" s="6" t="s">
        <v>275</v>
      </c>
      <c r="H8" s="6" t="s">
        <v>233</v>
      </c>
    </row>
    <row r="9" customFormat="false" ht="15" hidden="false" customHeight="false" outlineLevel="0" collapsed="false">
      <c r="A9" s="6" t="n">
        <v>5</v>
      </c>
      <c r="B9" s="6" t="s">
        <v>65</v>
      </c>
      <c r="C9" s="6" t="s">
        <v>276</v>
      </c>
      <c r="D9" s="6" t="n">
        <f aca="false">2^(32-17)</f>
        <v>32768</v>
      </c>
      <c r="E9" s="6" t="s">
        <v>268</v>
      </c>
      <c r="F9" s="6" t="s">
        <v>235</v>
      </c>
      <c r="G9" s="6" t="s">
        <v>277</v>
      </c>
      <c r="H9" s="6" t="s">
        <v>241</v>
      </c>
    </row>
    <row r="10" customFormat="false" ht="15" hidden="false" customHeight="false" outlineLevel="0" collapsed="false">
      <c r="A10" s="6" t="n">
        <v>6</v>
      </c>
      <c r="B10" s="6" t="s">
        <v>49</v>
      </c>
      <c r="C10" s="6" t="s">
        <v>278</v>
      </c>
      <c r="D10" s="6" t="n">
        <f aca="false">2^(32-17)</f>
        <v>32768</v>
      </c>
      <c r="E10" s="6" t="s">
        <v>268</v>
      </c>
      <c r="F10" s="6" t="s">
        <v>243</v>
      </c>
      <c r="G10" s="6" t="s">
        <v>279</v>
      </c>
      <c r="H10" s="6" t="s">
        <v>249</v>
      </c>
    </row>
    <row r="11" customFormat="false" ht="15" hidden="false" customHeight="false" outlineLevel="0" collapsed="false">
      <c r="A11" s="6" t="n">
        <v>7</v>
      </c>
      <c r="B11" s="6" t="s">
        <v>72</v>
      </c>
      <c r="C11" s="6" t="s">
        <v>280</v>
      </c>
      <c r="D11" s="6" t="n">
        <f aca="false">2^(32-17)</f>
        <v>32768</v>
      </c>
      <c r="E11" s="6" t="s">
        <v>268</v>
      </c>
      <c r="F11" s="6" t="s">
        <v>251</v>
      </c>
      <c r="G11" s="6" t="s">
        <v>281</v>
      </c>
      <c r="H11" s="6" t="s">
        <v>257</v>
      </c>
    </row>
    <row r="12" customFormat="false" ht="15" hidden="false" customHeight="false" outlineLevel="0" collapsed="false">
      <c r="A12" s="6" t="n">
        <v>8</v>
      </c>
      <c r="B12" s="6" t="s">
        <v>282</v>
      </c>
      <c r="C12" s="6" t="s">
        <v>283</v>
      </c>
      <c r="D12" s="6" t="n">
        <f aca="false">7*4</f>
        <v>28</v>
      </c>
      <c r="E12" s="6" t="s">
        <v>268</v>
      </c>
      <c r="F12" s="6" t="s">
        <v>284</v>
      </c>
      <c r="G12" s="6" t="s">
        <v>285</v>
      </c>
      <c r="H12" s="6" t="s">
        <v>286</v>
      </c>
    </row>
    <row r="14" customFormat="false" ht="15" hidden="false" customHeight="false" outlineLevel="0" collapsed="false">
      <c r="B14" s="2" t="s">
        <v>287</v>
      </c>
      <c r="C14" s="2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30"/>
    <col collapsed="false" customWidth="true" hidden="false" outlineLevel="0" max="5" min="5" style="0" width="62"/>
  </cols>
  <sheetData>
    <row r="1" customFormat="false" ht="16.15" hidden="false" customHeight="false" outlineLevel="0" collapsed="false">
      <c r="A1" s="1" t="s">
        <v>289</v>
      </c>
    </row>
    <row r="2" customFormat="false" ht="15" hidden="false" customHeight="false" outlineLevel="0" collapsed="false">
      <c r="A2" s="3" t="s">
        <v>290</v>
      </c>
    </row>
    <row r="4" customFormat="false" ht="15" hidden="false" customHeight="false" outlineLevel="0" collapsed="false">
      <c r="A4" s="5" t="s">
        <v>25</v>
      </c>
      <c r="B4" s="5" t="s">
        <v>291</v>
      </c>
      <c r="C4" s="5" t="s">
        <v>292</v>
      </c>
      <c r="D4" s="5" t="s">
        <v>293</v>
      </c>
      <c r="E4" s="5" t="s">
        <v>294</v>
      </c>
    </row>
    <row r="5" customFormat="false" ht="35.05" hidden="false" customHeight="false" outlineLevel="0" collapsed="false">
      <c r="A5" s="8" t="n">
        <v>1</v>
      </c>
      <c r="B5" s="8" t="s">
        <v>78</v>
      </c>
      <c r="C5" s="8" t="s">
        <v>295</v>
      </c>
      <c r="D5" s="8" t="s">
        <v>296</v>
      </c>
      <c r="E5" s="8" t="s">
        <v>297</v>
      </c>
    </row>
    <row r="6" customFormat="false" ht="23.85" hidden="false" customHeight="false" outlineLevel="0" collapsed="false">
      <c r="A6" s="8" t="n">
        <v>2</v>
      </c>
      <c r="B6" s="8" t="s">
        <v>85</v>
      </c>
      <c r="C6" s="8" t="s">
        <v>298</v>
      </c>
      <c r="D6" s="8" t="s">
        <v>299</v>
      </c>
      <c r="E6" s="8" t="s">
        <v>300</v>
      </c>
    </row>
    <row r="7" customFormat="false" ht="15" hidden="false" customHeight="false" outlineLevel="0" collapsed="false">
      <c r="A7" s="8" t="n">
        <v>3</v>
      </c>
      <c r="B7" s="8" t="s">
        <v>94</v>
      </c>
      <c r="C7" s="8" t="s">
        <v>301</v>
      </c>
      <c r="D7" s="8" t="s">
        <v>302</v>
      </c>
      <c r="E7" s="8" t="s">
        <v>303</v>
      </c>
    </row>
    <row r="8" customFormat="false" ht="15" hidden="false" customHeight="false" outlineLevel="0" collapsed="false">
      <c r="A8" s="8" t="n">
        <v>4</v>
      </c>
      <c r="B8" s="8" t="s">
        <v>102</v>
      </c>
      <c r="C8" s="8" t="s">
        <v>304</v>
      </c>
      <c r="D8" s="8" t="s">
        <v>305</v>
      </c>
      <c r="E8" s="8" t="s">
        <v>303</v>
      </c>
    </row>
    <row r="9" customFormat="false" ht="15" hidden="false" customHeight="false" outlineLevel="0" collapsed="false">
      <c r="A9" s="8" t="n">
        <v>5</v>
      </c>
      <c r="B9" s="8" t="s">
        <v>110</v>
      </c>
      <c r="C9" s="8" t="s">
        <v>306</v>
      </c>
      <c r="D9" s="8" t="s">
        <v>307</v>
      </c>
      <c r="E9" s="8" t="s">
        <v>303</v>
      </c>
    </row>
    <row r="10" customFormat="false" ht="15" hidden="false" customHeight="false" outlineLevel="0" collapsed="false">
      <c r="A10" s="8" t="n">
        <v>6</v>
      </c>
      <c r="B10" s="8" t="s">
        <v>118</v>
      </c>
      <c r="C10" s="8" t="s">
        <v>308</v>
      </c>
      <c r="D10" s="8" t="s">
        <v>309</v>
      </c>
      <c r="E10" s="8" t="s">
        <v>303</v>
      </c>
    </row>
    <row r="11" customFormat="false" ht="15" hidden="false" customHeight="false" outlineLevel="0" collapsed="false">
      <c r="A11" s="8" t="n">
        <v>7</v>
      </c>
      <c r="B11" s="8" t="s">
        <v>124</v>
      </c>
      <c r="C11" s="8" t="s">
        <v>310</v>
      </c>
      <c r="D11" s="8" t="s">
        <v>311</v>
      </c>
      <c r="E11" s="8" t="s">
        <v>303</v>
      </c>
    </row>
    <row r="12" customFormat="false" ht="15" hidden="false" customHeight="false" outlineLevel="0" collapsed="false">
      <c r="A12" s="8" t="n">
        <v>8</v>
      </c>
      <c r="B12" s="8" t="s">
        <v>132</v>
      </c>
      <c r="C12" s="8" t="s">
        <v>312</v>
      </c>
      <c r="D12" s="8" t="s">
        <v>313</v>
      </c>
      <c r="E12" s="8" t="s">
        <v>303</v>
      </c>
    </row>
    <row r="13" customFormat="false" ht="15" hidden="false" customHeight="false" outlineLevel="0" collapsed="false">
      <c r="A13" s="8" t="n">
        <v>9</v>
      </c>
      <c r="B13" s="8" t="s">
        <v>138</v>
      </c>
      <c r="C13" s="8" t="s">
        <v>314</v>
      </c>
      <c r="D13" s="8" t="s">
        <v>315</v>
      </c>
      <c r="E13" s="8" t="s">
        <v>303</v>
      </c>
    </row>
    <row r="14" customFormat="false" ht="23.85" hidden="false" customHeight="false" outlineLevel="0" collapsed="false">
      <c r="A14" s="8" t="n">
        <v>10</v>
      </c>
      <c r="B14" s="8" t="s">
        <v>316</v>
      </c>
      <c r="C14" s="8" t="s">
        <v>317</v>
      </c>
      <c r="D14" s="8" t="s">
        <v>318</v>
      </c>
      <c r="E14" s="8" t="s">
        <v>303</v>
      </c>
    </row>
    <row r="15" customFormat="false" ht="35.05" hidden="false" customHeight="false" outlineLevel="0" collapsed="false">
      <c r="A15" s="8" t="n">
        <v>11</v>
      </c>
      <c r="B15" s="8" t="s">
        <v>15</v>
      </c>
      <c r="C15" s="8" t="s">
        <v>319</v>
      </c>
      <c r="D15" s="8" t="s">
        <v>320</v>
      </c>
      <c r="E15" s="8" t="s">
        <v>321</v>
      </c>
    </row>
    <row r="16" customFormat="false" ht="23.85" hidden="false" customHeight="false" outlineLevel="0" collapsed="false">
      <c r="A16" s="8" t="n">
        <v>12</v>
      </c>
      <c r="B16" s="8" t="s">
        <v>322</v>
      </c>
      <c r="C16" s="8" t="s">
        <v>323</v>
      </c>
      <c r="D16" s="8" t="s">
        <v>324</v>
      </c>
      <c r="E16" s="8" t="s">
        <v>325</v>
      </c>
    </row>
    <row r="17" customFormat="false" ht="23.85" hidden="false" customHeight="false" outlineLevel="0" collapsed="false">
      <c r="A17" s="8" t="n">
        <v>13</v>
      </c>
      <c r="B17" s="8" t="s">
        <v>326</v>
      </c>
      <c r="C17" s="8" t="s">
        <v>6</v>
      </c>
      <c r="D17" s="8" t="s">
        <v>327</v>
      </c>
      <c r="E17" s="8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2026-10-28T03:55:38Z</dcterms:created>
  <dc:creator>openpyxl</dc:creator>
  <dc:description/>
  <dc:language>en-US</dc:language>
  <cp:lastModifiedBy/>
  <dcterms:modified xsi:type="dcterms:W3CDTF">2026-10-28T03:55:38Z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